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b7a111f4b98c75/Desktop/"/>
    </mc:Choice>
  </mc:AlternateContent>
  <xr:revisionPtr revIDLastSave="0" documentId="8_{AEDFA4AD-9A39-449E-A13A-1DAC7426C9AE}" xr6:coauthVersionLast="47" xr6:coauthVersionMax="47" xr10:uidLastSave="{00000000-0000-0000-0000-000000000000}"/>
  <bookViews>
    <workbookView xWindow="-108" yWindow="-108" windowWidth="23256" windowHeight="12456" xr2:uid="{43B79ED9-57FA-43D8-A925-8B3A426C24EB}"/>
  </bookViews>
  <sheets>
    <sheet name="Student_Marksheet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5" i="1" s="1"/>
  <c r="F53" i="1"/>
  <c r="O13" i="1"/>
  <c r="O15" i="1" s="1"/>
  <c r="N13" i="1"/>
  <c r="N15" i="1" s="1"/>
  <c r="M13" i="1"/>
  <c r="M15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/>
  <c r="J10" i="1" a="1"/>
  <c r="J10" i="1"/>
  <c r="J11" i="1" a="1"/>
  <c r="J11" i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3" i="1" a="1"/>
  <c r="J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3" i="1" a="1"/>
  <c r="I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3" i="1" a="1"/>
  <c r="H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" i="1"/>
  <c r="J5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<sst xmlns="http://schemas.openxmlformats.org/spreadsheetml/2006/main" count="116" uniqueCount="70">
  <si>
    <t>Student_ID</t>
  </si>
  <si>
    <t>Name</t>
  </si>
  <si>
    <t>Class</t>
  </si>
  <si>
    <t>Subject</t>
  </si>
  <si>
    <t>Marks</t>
  </si>
  <si>
    <t>Total_Marks</t>
  </si>
  <si>
    <t>Percentage</t>
  </si>
  <si>
    <t>Grade</t>
  </si>
  <si>
    <t>Ravi Kumar</t>
  </si>
  <si>
    <t>Math</t>
  </si>
  <si>
    <t>Priya Sharma</t>
  </si>
  <si>
    <t>Science</t>
  </si>
  <si>
    <t>Aman Verma</t>
  </si>
  <si>
    <t>English</t>
  </si>
  <si>
    <t>Neha Singh</t>
  </si>
  <si>
    <t>Arjun Patel</t>
  </si>
  <si>
    <t>Meena Joshi</t>
  </si>
  <si>
    <t>Rohit Yadav</t>
  </si>
  <si>
    <t>Social</t>
  </si>
  <si>
    <t>Kavita Rao</t>
  </si>
  <si>
    <t>Suresh Gupta</t>
  </si>
  <si>
    <t>Anjali Mehta</t>
  </si>
  <si>
    <t>Deepak Nair</t>
  </si>
  <si>
    <t>Sneha Kapoor</t>
  </si>
  <si>
    <t>Vivek Rathi</t>
  </si>
  <si>
    <t>Pooja Mishra</t>
  </si>
  <si>
    <t>Sanjay Chauhan</t>
  </si>
  <si>
    <t>Divya Bansal</t>
  </si>
  <si>
    <t>Karan Malhotra</t>
  </si>
  <si>
    <t>Ritu Desai</t>
  </si>
  <si>
    <t>Mohit Saxena</t>
  </si>
  <si>
    <t>Shalini Tiwari</t>
  </si>
  <si>
    <t>Ajay Rawat</t>
  </si>
  <si>
    <t>Nisha Bhatt</t>
  </si>
  <si>
    <t>Harish Menon</t>
  </si>
  <si>
    <t>Jyoti Kulkarni</t>
  </si>
  <si>
    <t>Rajesh Pandey</t>
  </si>
  <si>
    <t>Sunita Reddy</t>
  </si>
  <si>
    <t>Manish Agarwal</t>
  </si>
  <si>
    <t>Rekha Iyer</t>
  </si>
  <si>
    <t>Ashok Chatterjee</t>
  </si>
  <si>
    <t>Seema Ghosh</t>
  </si>
  <si>
    <t>Tarun Dutta</t>
  </si>
  <si>
    <t>Alka Prasad</t>
  </si>
  <si>
    <t>Varun Khanna</t>
  </si>
  <si>
    <t>Radhika Sen</t>
  </si>
  <si>
    <t>Gaurav Jain</t>
  </si>
  <si>
    <t>Anita Paul</t>
  </si>
  <si>
    <t>Lokesh Tripathi</t>
  </si>
  <si>
    <t>Pallavi Sinha</t>
  </si>
  <si>
    <t>Dinesh Kaur</t>
  </si>
  <si>
    <t>Shruti Anand</t>
  </si>
  <si>
    <t>Yogesh Bhatia</t>
  </si>
  <si>
    <t>Mala George</t>
  </si>
  <si>
    <t>Parth Kulkarni</t>
  </si>
  <si>
    <t>Snehal Patil</t>
  </si>
  <si>
    <t>Vikram Joshi</t>
  </si>
  <si>
    <t>Aarti Saxena</t>
  </si>
  <si>
    <t>Nitin Sharma</t>
  </si>
  <si>
    <t>Bhavna Kapoor</t>
  </si>
  <si>
    <t>Ramesh Pillai</t>
  </si>
  <si>
    <t>Geeta Chauhan</t>
  </si>
  <si>
    <t>PASS /FAIL</t>
  </si>
  <si>
    <t>performance</t>
  </si>
  <si>
    <t>Score in Math</t>
  </si>
  <si>
    <t>Total</t>
  </si>
  <si>
    <t>Score in Science</t>
  </si>
  <si>
    <t>Score in English</t>
  </si>
  <si>
    <t>percentage</t>
  </si>
  <si>
    <t>Score in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</si>
</sst>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4" tint="0.7999816888943144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2" fillId="2" borderId="1" xfId="0" applyFont="1" applyFill="1" applyBorder="1"/>
    <xf numFmtId="10" fontId="4" fillId="3" borderId="0" xfId="0" applyNumberFormat="1" applyFont="1" applyFill="1"/>
    <xf numFmtId="10" fontId="4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/>
  </cellXfs>
  <cellStyles count="1">
    <cellStyle name="Normal" xfId="0" builtinId="0"/>
  </cellStyles>
  <dxfs count="23"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7B2771DB-02C6-4752-841C-B846F6E93C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007F3-01DF-4C1D-8D90-356B30A51FF6}" name="Table2" displayName="Table2" ref="A2:J53" totalsRowCount="1" headerRowDxfId="6" dataDxfId="4" totalsRowDxfId="5">
  <autoFilter ref="A2:J52" xr:uid="{CA9007F3-01DF-4C1D-8D90-356B30A51FF6}"/>
  <sortState xmlns:xlrd2="http://schemas.microsoft.com/office/spreadsheetml/2017/richdata2" ref="A3:J52">
    <sortCondition ref="A2:A52"/>
  </sortState>
  <tableColumns count="10">
    <tableColumn id="1" xr3:uid="{4AF78C09-9F61-4327-A026-7DBA8E6F40C8}" name="Student_ID" totalsRowLabel="Total" dataDxfId="3" totalsRowDxfId="22"/>
    <tableColumn id="2" xr3:uid="{B2C544F2-99FD-4B0E-A0D6-CA04C5C9A6F7}" name="Name" dataDxfId="1" totalsRowDxfId="0"/>
    <tableColumn id="3" xr3:uid="{C3F5C367-4334-4781-A3D9-5E7DB7BF93A6}" name="Class" dataDxfId="2" totalsRowDxfId="21"/>
    <tableColumn id="4" xr3:uid="{D3410DBF-1CBA-4925-A98A-78204D9ECE47}" name="Subject" dataDxfId="20" totalsRowDxfId="19"/>
    <tableColumn id="5" xr3:uid="{1D07E0EA-1FEF-48C2-90C4-E2AE3930DB69}" name="Marks" dataDxfId="18" totalsRowDxfId="17"/>
    <tableColumn id="6" xr3:uid="{E5E38C31-DBCF-4B4A-9F0F-0EB60A0FED4C}" name="Total_Marks" totalsRowFunction="sum" dataDxfId="16" totalsRowDxfId="15"/>
    <tableColumn id="7" xr3:uid="{EB5A31B4-4E8D-405C-83EC-85A7B61F1B07}" name="Percentage" dataDxfId="14" totalsRowDxfId="13">
      <calculatedColumnFormula>E3/F3</calculatedColumnFormula>
    </tableColumn>
    <tableColumn id="8" xr3:uid="{92BC9236-BE29-4884-97EA-2EC3FD373402}" name="PASS /FAIL" dataDxfId="12" totalsRowDxfId="11">
      <calculatedColumnFormula array="1">_xlfn.IFS(E3&lt;55,"FAIL",E3&gt;=55,"PASS")</calculatedColumnFormula>
    </tableColumn>
    <tableColumn id="9" xr3:uid="{39FDF529-4AE9-4499-A292-F8F88D95A6F7}" name="Grade" dataDxfId="10" totalsRowDxfId="9">
      <calculatedColumnFormula array="1">_xlfn.IFS(E3&gt;=95,"A",E3&gt;=70,"B",E3&gt;=55,"C",E3&lt;55,"D")</calculatedColumnFormula>
    </tableColumn>
    <tableColumn id="10" xr3:uid="{46FF4F5B-F44F-452B-B04A-84BA1AEDBDE3}" name="performance" totalsRowFunction="count" dataDxfId="8" totalsRowDxfId="7">
      <calculatedColumnFormula array="1">_xlfn.IFS(E3&gt;=95,"Excellent",E3&gt;=70,"Very Good",E3&gt;=55,"Good",E3&lt;55,"Poor")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A057-5051-44AA-A6F6-2BDE4E17C0E9}">
  <dimension ref="A1:P55"/>
  <sheetViews>
    <sheetView tabSelected="1" zoomScale="81" zoomScaleNormal="100" workbookViewId="0">
      <selection activeCell="L9" sqref="L9"/>
    </sheetView>
  </sheetViews>
  <sheetFormatPr defaultColWidth="11.44140625" defaultRowHeight="18" x14ac:dyDescent="0.35"/>
  <cols>
    <col min="1" max="1" width="16" bestFit="1" customWidth="1"/>
    <col min="2" max="2" width="25.6640625" style="18" customWidth="1"/>
    <col min="3" max="3" width="11.21875" bestFit="1" customWidth="1"/>
    <col min="4" max="4" width="13" bestFit="1" customWidth="1"/>
    <col min="5" max="5" width="11.44140625" bestFit="1" customWidth="1"/>
    <col min="6" max="6" width="16.5546875" bestFit="1" customWidth="1"/>
    <col min="7" max="7" width="16.109375" bestFit="1" customWidth="1"/>
    <col min="8" max="8" width="15.44140625" bestFit="1" customWidth="1"/>
    <col min="9" max="9" width="11.6640625" bestFit="1" customWidth="1"/>
    <col min="10" max="10" width="17.5546875" bestFit="1" customWidth="1"/>
    <col min="12" max="12" width="15.21875" bestFit="1" customWidth="1"/>
    <col min="13" max="16" width="10.5546875" bestFit="1" customWidth="1"/>
  </cols>
  <sheetData>
    <row r="1" spans="1:16" x14ac:dyDescent="0.3">
      <c r="A1" s="1"/>
      <c r="B1" s="17"/>
      <c r="C1" s="1"/>
      <c r="D1" s="1"/>
      <c r="E1" s="1"/>
      <c r="F1" s="1"/>
      <c r="G1" s="1"/>
      <c r="H1" s="1"/>
    </row>
    <row r="2" spans="1:16" x14ac:dyDescent="0.3">
      <c r="A2" s="10" t="s">
        <v>0</v>
      </c>
      <c r="B2" s="11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2" t="s">
        <v>6</v>
      </c>
      <c r="H2" s="10" t="s">
        <v>62</v>
      </c>
      <c r="I2" s="10" t="s">
        <v>7</v>
      </c>
      <c r="J2" s="10" t="s">
        <v>63</v>
      </c>
    </row>
    <row r="3" spans="1:16" x14ac:dyDescent="0.35">
      <c r="A3" s="10">
        <v>1</v>
      </c>
      <c r="B3" s="17" t="s">
        <v>8</v>
      </c>
      <c r="C3" s="10">
        <v>10</v>
      </c>
      <c r="D3" s="10" t="s">
        <v>9</v>
      </c>
      <c r="E3" s="10">
        <v>78</v>
      </c>
      <c r="F3" s="10">
        <v>100</v>
      </c>
      <c r="G3" s="13">
        <f>E3/F3</f>
        <v>0.78</v>
      </c>
      <c r="H3" s="14" t="str" cm="1">
        <f t="array" ref="H3">_xlfn.IFS(E3&lt;55,"FAIL",E3&gt;=55,"PASS")</f>
        <v>PASS</v>
      </c>
      <c r="I3" s="15" t="str" cm="1">
        <f t="array" ref="I3">_xlfn.IFS(E3&gt;=95,"A",E3&gt;=70,"B",E3&gt;=55,"C",E3&lt;55,"D")</f>
        <v>B</v>
      </c>
      <c r="J3" s="16" t="str" cm="1">
        <f t="array" ref="J3">_xlfn.IFS(E3&gt;=95,"Excellent",E3&gt;=70,"Very Good",E3&gt;=55,"Good",E3&lt;55,"Poor")</f>
        <v>Very Good</v>
      </c>
    </row>
    <row r="4" spans="1:16" x14ac:dyDescent="0.35">
      <c r="A4" s="10">
        <v>2</v>
      </c>
      <c r="B4" s="17" t="s">
        <v>10</v>
      </c>
      <c r="C4" s="10">
        <v>10</v>
      </c>
      <c r="D4" s="10" t="s">
        <v>11</v>
      </c>
      <c r="E4" s="10">
        <v>88</v>
      </c>
      <c r="F4" s="10">
        <v>100</v>
      </c>
      <c r="G4" s="13">
        <f>E4/F4</f>
        <v>0.88</v>
      </c>
      <c r="H4" s="14" t="str" cm="1">
        <f t="array" ref="H4">_xlfn.IFS(E4&lt;55,"FAIL",E4&gt;=55,"PASS")</f>
        <v>PASS</v>
      </c>
      <c r="I4" s="15" t="str" cm="1">
        <f t="array" ref="I4">_xlfn.IFS(E4&gt;=95,"A",E4&gt;=70,"B",E4&gt;=55,"C",E4&lt;55,"D")</f>
        <v>B</v>
      </c>
      <c r="J4" s="16" t="str" cm="1">
        <f t="array" ref="J4">_xlfn.IFS(E4&gt;=95,"Excellent",E4&gt;=70,"Very Good",E4&gt;=55,"Good",E4&lt;55,"Poor")</f>
        <v>Very Good</v>
      </c>
    </row>
    <row r="5" spans="1:16" x14ac:dyDescent="0.35">
      <c r="A5" s="10">
        <v>3</v>
      </c>
      <c r="B5" s="17" t="s">
        <v>12</v>
      </c>
      <c r="C5" s="10">
        <v>10</v>
      </c>
      <c r="D5" s="10" t="s">
        <v>13</v>
      </c>
      <c r="E5" s="10">
        <v>65</v>
      </c>
      <c r="F5" s="10">
        <v>100</v>
      </c>
      <c r="G5" s="13">
        <f>E5/F5</f>
        <v>0.65</v>
      </c>
      <c r="H5" s="14" t="str" cm="1">
        <f t="array" ref="H5">_xlfn.IFS(E5&lt;55,"FAIL",E5&gt;=55,"PASS")</f>
        <v>PASS</v>
      </c>
      <c r="I5" s="15" t="str" cm="1">
        <f t="array" ref="I5">_xlfn.IFS(E5&gt;=95,"A",E5&gt;=70,"B",E5&gt;=55,"C",E5&lt;55,"D")</f>
        <v>C</v>
      </c>
      <c r="J5" s="16" t="str" cm="1">
        <f t="array" ref="J5">_xlfn.IFS(E5&gt;=95,"Excellent",E5&gt;=70,"Very Good",E5&gt;=55,"Good",E5&lt;55,"Poor")</f>
        <v>Good</v>
      </c>
      <c r="L5" s="3"/>
    </row>
    <row r="6" spans="1:16" x14ac:dyDescent="0.35">
      <c r="A6" s="10">
        <v>4</v>
      </c>
      <c r="B6" s="17" t="s">
        <v>14</v>
      </c>
      <c r="C6" s="10">
        <v>10</v>
      </c>
      <c r="D6" s="10" t="s">
        <v>9</v>
      </c>
      <c r="E6" s="10">
        <v>92</v>
      </c>
      <c r="F6" s="10">
        <v>100</v>
      </c>
      <c r="G6" s="13">
        <f>E6/F6</f>
        <v>0.92</v>
      </c>
      <c r="H6" s="14" t="str" cm="1">
        <f t="array" ref="H6">_xlfn.IFS(E6&lt;55,"FAIL",E6&gt;=55,"PASS")</f>
        <v>PASS</v>
      </c>
      <c r="I6" s="15" t="str" cm="1">
        <f t="array" ref="I6">_xlfn.IFS(E6&gt;=95,"A",E6&gt;=70,"B",E6&gt;=55,"C",E6&lt;55,"D")</f>
        <v>B</v>
      </c>
      <c r="J6" s="16" t="str" cm="1">
        <f t="array" ref="J6">_xlfn.IFS(E6&gt;=95,"Excellent",E6&gt;=70,"Very Good",E6&gt;=55,"Good",E6&lt;55,"Poor")</f>
        <v>Very Good</v>
      </c>
    </row>
    <row r="7" spans="1:16" x14ac:dyDescent="0.35">
      <c r="A7" s="10">
        <v>5</v>
      </c>
      <c r="B7" s="17" t="s">
        <v>15</v>
      </c>
      <c r="C7" s="10">
        <v>10</v>
      </c>
      <c r="D7" s="10" t="s">
        <v>11</v>
      </c>
      <c r="E7" s="10">
        <v>45</v>
      </c>
      <c r="F7" s="10">
        <v>100</v>
      </c>
      <c r="G7" s="13">
        <f>E7/F7</f>
        <v>0.45</v>
      </c>
      <c r="H7" s="14" t="str" cm="1">
        <f t="array" ref="H7">_xlfn.IFS(E7&lt;55,"FAIL",E7&gt;=55,"PASS")</f>
        <v>FAIL</v>
      </c>
      <c r="I7" s="15" t="str" cm="1">
        <f t="array" ref="I7">_xlfn.IFS(E7&gt;=95,"A",E7&gt;=70,"B",E7&gt;=55,"C",E7&lt;55,"D")</f>
        <v>D</v>
      </c>
      <c r="J7" s="16" t="str" cm="1">
        <f t="array" ref="J7">_xlfn.IFS(E7&gt;=95,"Excellent",E7&gt;=70,"Very Good",E7&gt;=55,"Good",E7&lt;55,"Poor")</f>
        <v>Poor</v>
      </c>
    </row>
    <row r="8" spans="1:16" x14ac:dyDescent="0.35">
      <c r="A8" s="10">
        <v>6</v>
      </c>
      <c r="B8" s="17" t="s">
        <v>16</v>
      </c>
      <c r="C8" s="10">
        <v>10</v>
      </c>
      <c r="D8" s="10" t="s">
        <v>13</v>
      </c>
      <c r="E8" s="10">
        <v>81</v>
      </c>
      <c r="F8" s="10">
        <v>100</v>
      </c>
      <c r="G8" s="13">
        <f>E8/F8</f>
        <v>0.81</v>
      </c>
      <c r="H8" s="14" t="str" cm="1">
        <f t="array" ref="H8">_xlfn.IFS(E8&lt;55,"FAIL",E8&gt;=55,"PASS")</f>
        <v>PASS</v>
      </c>
      <c r="I8" s="15" t="str" cm="1">
        <f t="array" ref="I8">_xlfn.IFS(E8&gt;=95,"A",E8&gt;=70,"B",E8&gt;=55,"C",E8&lt;55,"D")</f>
        <v>B</v>
      </c>
      <c r="J8" s="16" t="str" cm="1">
        <f t="array" ref="J8">_xlfn.IFS(E8&gt;=95,"Excellent",E8&gt;=70,"Very Good",E8&gt;=55,"Good",E8&lt;55,"Poor")</f>
        <v>Very Good</v>
      </c>
    </row>
    <row r="9" spans="1:16" x14ac:dyDescent="0.35">
      <c r="A9" s="10">
        <v>7</v>
      </c>
      <c r="B9" s="17" t="s">
        <v>17</v>
      </c>
      <c r="C9" s="10">
        <v>10</v>
      </c>
      <c r="D9" s="10" t="s">
        <v>18</v>
      </c>
      <c r="E9" s="10">
        <v>74</v>
      </c>
      <c r="F9" s="10">
        <v>100</v>
      </c>
      <c r="G9" s="13">
        <f>E9/F9</f>
        <v>0.74</v>
      </c>
      <c r="H9" s="14" t="str" cm="1">
        <f t="array" ref="H9">_xlfn.IFS(E9&lt;55,"FAIL",E9&gt;=55,"PASS")</f>
        <v>PASS</v>
      </c>
      <c r="I9" s="15" t="str" cm="1">
        <f t="array" ref="I9">_xlfn.IFS(E9&gt;=95,"A",E9&gt;=70,"B",E9&gt;=55,"C",E9&lt;55,"D")</f>
        <v>B</v>
      </c>
      <c r="J9" s="16" t="str" cm="1">
        <f t="array" ref="J9">_xlfn.IFS(E9&gt;=95,"Excellent",E9&gt;=70,"Very Good",E9&gt;=55,"Good",E9&lt;55,"Poor")</f>
        <v>Very Good</v>
      </c>
    </row>
    <row r="10" spans="1:16" x14ac:dyDescent="0.35">
      <c r="A10" s="10">
        <v>8</v>
      </c>
      <c r="B10" s="17" t="s">
        <v>19</v>
      </c>
      <c r="C10" s="10">
        <v>10</v>
      </c>
      <c r="D10" s="10" t="s">
        <v>9</v>
      </c>
      <c r="E10" s="10">
        <v>89</v>
      </c>
      <c r="F10" s="10">
        <v>100</v>
      </c>
      <c r="G10" s="13">
        <f>E10/F10</f>
        <v>0.89</v>
      </c>
      <c r="H10" s="14" t="str" cm="1">
        <f t="array" ref="H10">_xlfn.IFS(E10&lt;55,"FAIL",E10&gt;=55,"PASS")</f>
        <v>PASS</v>
      </c>
      <c r="I10" s="15" t="str" cm="1">
        <f t="array" ref="I10">_xlfn.IFS(E10&gt;=95,"A",E10&gt;=70,"B",E10&gt;=55,"C",E10&lt;55,"D")</f>
        <v>B</v>
      </c>
      <c r="J10" s="16" t="str" cm="1">
        <f t="array" ref="J10">_xlfn.IFS(E10&gt;=95,"Excellent",E10&gt;=70,"Very Good",E10&gt;=55,"Good",E10&lt;55,"Poor")</f>
        <v>Very Good</v>
      </c>
    </row>
    <row r="11" spans="1:16" x14ac:dyDescent="0.35">
      <c r="A11" s="10">
        <v>9</v>
      </c>
      <c r="B11" s="17" t="s">
        <v>20</v>
      </c>
      <c r="C11" s="10">
        <v>10</v>
      </c>
      <c r="D11" s="10" t="s">
        <v>11</v>
      </c>
      <c r="E11" s="10">
        <v>62</v>
      </c>
      <c r="F11" s="10">
        <v>100</v>
      </c>
      <c r="G11" s="13">
        <f>E11/F11</f>
        <v>0.62</v>
      </c>
      <c r="H11" s="14" t="str" cm="1">
        <f t="array" ref="H11">_xlfn.IFS(E11&lt;55,"FAIL",E11&gt;=55,"PASS")</f>
        <v>PASS</v>
      </c>
      <c r="I11" s="15" t="str" cm="1">
        <f t="array" ref="I11">_xlfn.IFS(E11&gt;=95,"A",E11&gt;=70,"B",E11&gt;=55,"C",E11&lt;55,"D")</f>
        <v>C</v>
      </c>
      <c r="J11" s="16" t="str" cm="1">
        <f t="array" ref="J11">_xlfn.IFS(E11&gt;=95,"Excellent",E11&gt;=70,"Very Good",E11&gt;=55,"Good",E11&lt;55,"Poor")</f>
        <v>Good</v>
      </c>
      <c r="M11" s="1"/>
    </row>
    <row r="12" spans="1:16" ht="31.8" x14ac:dyDescent="0.35">
      <c r="A12" s="10">
        <v>10</v>
      </c>
      <c r="B12" s="17" t="s">
        <v>21</v>
      </c>
      <c r="C12" s="10">
        <v>10</v>
      </c>
      <c r="D12" s="10" t="s">
        <v>13</v>
      </c>
      <c r="E12" s="10">
        <v>95</v>
      </c>
      <c r="F12" s="10">
        <v>100</v>
      </c>
      <c r="G12" s="13">
        <f>E12/F12</f>
        <v>0.95</v>
      </c>
      <c r="H12" s="14" t="str" cm="1">
        <f t="array" ref="H12">_xlfn.IFS(E12&lt;55,"FAIL",E12&gt;=55,"PASS")</f>
        <v>PASS</v>
      </c>
      <c r="I12" s="15" t="str" cm="1">
        <f t="array" ref="I12">_xlfn.IFS(E12&gt;=95,"A",E12&gt;=70,"B",E12&gt;=55,"C",E12&lt;55,"D")</f>
        <v>A</v>
      </c>
      <c r="J12" s="16" t="str" cm="1">
        <f t="array" ref="J12">_xlfn.IFS(E12&gt;=95,"Excellent",E12&gt;=70,"Very Good",E12&gt;=55,"Good",E12&lt;55,"Poor")</f>
        <v>Excellent</v>
      </c>
      <c r="L12" s="2"/>
      <c r="M12" s="4" t="s">
        <v>64</v>
      </c>
      <c r="N12" s="5" t="s">
        <v>66</v>
      </c>
      <c r="O12" s="5" t="s">
        <v>67</v>
      </c>
      <c r="P12" s="5" t="s">
        <v>69</v>
      </c>
    </row>
    <row r="13" spans="1:16" x14ac:dyDescent="0.35">
      <c r="A13" s="10">
        <v>11</v>
      </c>
      <c r="B13" s="17" t="s">
        <v>22</v>
      </c>
      <c r="C13" s="10">
        <v>10</v>
      </c>
      <c r="D13" s="10" t="s">
        <v>18</v>
      </c>
      <c r="E13" s="10">
        <v>77</v>
      </c>
      <c r="F13" s="10">
        <v>100</v>
      </c>
      <c r="G13" s="13">
        <f>E13/F13</f>
        <v>0.77</v>
      </c>
      <c r="H13" s="14" t="str" cm="1">
        <f t="array" ref="H13">_xlfn.IFS(E13&lt;55,"FAIL",E13&gt;=55,"PASS")</f>
        <v>PASS</v>
      </c>
      <c r="I13" s="15" t="str" cm="1">
        <f t="array" ref="I13">_xlfn.IFS(E13&gt;=95,"A",E13&gt;=70,"B",E13&gt;=55,"C",E13&lt;55,"D")</f>
        <v>B</v>
      </c>
      <c r="J13" s="16" t="str" cm="1">
        <f t="array" ref="J13">_xlfn.IFS(E13&gt;=95,"Excellent",E13&gt;=70,"Very Good",E13&gt;=55,"Good",E13&lt;55,"Poor")</f>
        <v>Very Good</v>
      </c>
      <c r="M13" s="6">
        <f>SUMIF(D3:D52,"Math",E3:E52)</f>
        <v>1122</v>
      </c>
      <c r="N13" s="6">
        <f>SUMIF(Table2[Subject],"Science",Table2[Marks])</f>
        <v>908</v>
      </c>
      <c r="O13" s="6">
        <f>SUMIF(Table2[Subject],"English",Table2[Marks])</f>
        <v>1019</v>
      </c>
      <c r="P13" s="7">
        <f>SUMIF(Table2[Subject],"social",Table2[Marks])</f>
        <v>741</v>
      </c>
    </row>
    <row r="14" spans="1:16" x14ac:dyDescent="0.35">
      <c r="A14" s="10">
        <v>12</v>
      </c>
      <c r="B14" s="17" t="s">
        <v>23</v>
      </c>
      <c r="C14" s="10">
        <v>10</v>
      </c>
      <c r="D14" s="10" t="s">
        <v>9</v>
      </c>
      <c r="E14" s="10">
        <v>84</v>
      </c>
      <c r="F14" s="10">
        <v>100</v>
      </c>
      <c r="G14" s="13">
        <f>E14/F14</f>
        <v>0.84</v>
      </c>
      <c r="H14" s="14" t="str" cm="1">
        <f t="array" ref="H14">_xlfn.IFS(E14&lt;55,"FAIL",E14&gt;=55,"PASS")</f>
        <v>PASS</v>
      </c>
      <c r="I14" s="15" t="str" cm="1">
        <f t="array" ref="I14">_xlfn.IFS(E14&gt;=95,"A",E14&gt;=70,"B",E14&gt;=55,"C",E14&lt;55,"D")</f>
        <v>B</v>
      </c>
      <c r="J14" s="16" t="str" cm="1">
        <f t="array" ref="J14">_xlfn.IFS(E14&gt;=95,"Excellent",E14&gt;=70,"Very Good",E14&gt;=55,"Good",E14&lt;55,"Poor")</f>
        <v>Very Good</v>
      </c>
    </row>
    <row r="15" spans="1:16" ht="21" x14ac:dyDescent="0.4">
      <c r="A15" s="10">
        <v>13</v>
      </c>
      <c r="B15" s="17" t="s">
        <v>24</v>
      </c>
      <c r="C15" s="10">
        <v>10</v>
      </c>
      <c r="D15" s="10" t="s">
        <v>11</v>
      </c>
      <c r="E15" s="10">
        <v>91</v>
      </c>
      <c r="F15" s="10">
        <v>100</v>
      </c>
      <c r="G15" s="13">
        <f>E15/F15</f>
        <v>0.91</v>
      </c>
      <c r="H15" s="14" t="str" cm="1">
        <f t="array" ref="H15">_xlfn.IFS(E15&lt;55,"FAIL",E15&gt;=55,"PASS")</f>
        <v>PASS</v>
      </c>
      <c r="I15" s="15" t="str" cm="1">
        <f t="array" ref="I15">_xlfn.IFS(E15&gt;=95,"A",E15&gt;=70,"B",E15&gt;=55,"C",E15&lt;55,"D")</f>
        <v>B</v>
      </c>
      <c r="J15" s="16" t="str" cm="1">
        <f t="array" ref="J15">_xlfn.IFS(E15&gt;=95,"Excellent",E15&gt;=70,"Very Good",E15&gt;=55,"Good",E15&lt;55,"Poor")</f>
        <v>Very Good</v>
      </c>
      <c r="L15" s="8" t="s">
        <v>68</v>
      </c>
      <c r="M15" s="9">
        <f>M13/1300</f>
        <v>0.86307692307692307</v>
      </c>
      <c r="N15" s="8">
        <f>N13/1300</f>
        <v>0.69846153846153847</v>
      </c>
      <c r="O15" s="8">
        <f>O13/1300</f>
        <v>0.78384615384615386</v>
      </c>
      <c r="P15" s="8">
        <f>P13/1100</f>
        <v>0.67363636363636359</v>
      </c>
    </row>
    <row r="16" spans="1:16" x14ac:dyDescent="0.35">
      <c r="A16" s="10">
        <v>14</v>
      </c>
      <c r="B16" s="17" t="s">
        <v>25</v>
      </c>
      <c r="C16" s="10">
        <v>10</v>
      </c>
      <c r="D16" s="10" t="s">
        <v>13</v>
      </c>
      <c r="E16" s="10">
        <v>68</v>
      </c>
      <c r="F16" s="10">
        <v>100</v>
      </c>
      <c r="G16" s="13">
        <f>E16/F16</f>
        <v>0.68</v>
      </c>
      <c r="H16" s="14" t="str" cm="1">
        <f t="array" ref="H16">_xlfn.IFS(E16&lt;55,"FAIL",E16&gt;=55,"PASS")</f>
        <v>PASS</v>
      </c>
      <c r="I16" s="15" t="str" cm="1">
        <f t="array" ref="I16">_xlfn.IFS(E16&gt;=95,"A",E16&gt;=70,"B",E16&gt;=55,"C",E16&lt;55,"D")</f>
        <v>C</v>
      </c>
      <c r="J16" s="16" t="str" cm="1">
        <f t="array" ref="J16">_xlfn.IFS(E16&gt;=95,"Excellent",E16&gt;=70,"Very Good",E16&gt;=55,"Good",E16&lt;55,"Poor")</f>
        <v>Good</v>
      </c>
    </row>
    <row r="17" spans="1:10" x14ac:dyDescent="0.35">
      <c r="A17" s="10">
        <v>15</v>
      </c>
      <c r="B17" s="17" t="s">
        <v>26</v>
      </c>
      <c r="C17" s="10">
        <v>10</v>
      </c>
      <c r="D17" s="10" t="s">
        <v>18</v>
      </c>
      <c r="E17" s="10">
        <v>73</v>
      </c>
      <c r="F17" s="10">
        <v>100</v>
      </c>
      <c r="G17" s="13">
        <f>E17/F17</f>
        <v>0.73</v>
      </c>
      <c r="H17" s="14" t="str" cm="1">
        <f t="array" ref="H17">_xlfn.IFS(E17&lt;55,"FAIL",E17&gt;=55,"PASS")</f>
        <v>PASS</v>
      </c>
      <c r="I17" s="15" t="str" cm="1">
        <f t="array" ref="I17">_xlfn.IFS(E17&gt;=95,"A",E17&gt;=70,"B",E17&gt;=55,"C",E17&lt;55,"D")</f>
        <v>B</v>
      </c>
      <c r="J17" s="16" t="str" cm="1">
        <f t="array" ref="J17">_xlfn.IFS(E17&gt;=95,"Excellent",E17&gt;=70,"Very Good",E17&gt;=55,"Good",E17&lt;55,"Poor")</f>
        <v>Very Good</v>
      </c>
    </row>
    <row r="18" spans="1:10" x14ac:dyDescent="0.35">
      <c r="A18" s="10">
        <v>16</v>
      </c>
      <c r="B18" s="17" t="s">
        <v>27</v>
      </c>
      <c r="C18" s="10">
        <v>10</v>
      </c>
      <c r="D18" s="10" t="s">
        <v>9</v>
      </c>
      <c r="E18" s="10">
        <v>87</v>
      </c>
      <c r="F18" s="10">
        <v>100</v>
      </c>
      <c r="G18" s="13">
        <f>E18/F18</f>
        <v>0.87</v>
      </c>
      <c r="H18" s="14" t="str" cm="1">
        <f t="array" ref="H18">_xlfn.IFS(E18&lt;55,"FAIL",E18&gt;=55,"PASS")</f>
        <v>PASS</v>
      </c>
      <c r="I18" s="15" t="str" cm="1">
        <f t="array" ref="I18">_xlfn.IFS(E18&gt;=95,"A",E18&gt;=70,"B",E18&gt;=55,"C",E18&lt;55,"D")</f>
        <v>B</v>
      </c>
      <c r="J18" s="16" t="str" cm="1">
        <f t="array" ref="J18">_xlfn.IFS(E18&gt;=95,"Excellent",E18&gt;=70,"Very Good",E18&gt;=55,"Good",E18&lt;55,"Poor")</f>
        <v>Very Good</v>
      </c>
    </row>
    <row r="19" spans="1:10" x14ac:dyDescent="0.35">
      <c r="A19" s="10">
        <v>17</v>
      </c>
      <c r="B19" s="17" t="s">
        <v>28</v>
      </c>
      <c r="C19" s="10">
        <v>10</v>
      </c>
      <c r="D19" s="10" t="s">
        <v>11</v>
      </c>
      <c r="E19" s="10">
        <v>59</v>
      </c>
      <c r="F19" s="10">
        <v>100</v>
      </c>
      <c r="G19" s="13">
        <f>E19/F19</f>
        <v>0.59</v>
      </c>
      <c r="H19" s="14" t="str" cm="1">
        <f t="array" ref="H19">_xlfn.IFS(E19&lt;55,"FAIL",E19&gt;=55,"PASS")</f>
        <v>PASS</v>
      </c>
      <c r="I19" s="15" t="str" cm="1">
        <f t="array" ref="I19">_xlfn.IFS(E19&gt;=95,"A",E19&gt;=70,"B",E19&gt;=55,"C",E19&lt;55,"D")</f>
        <v>C</v>
      </c>
      <c r="J19" s="16" t="str" cm="1">
        <f t="array" ref="J19">_xlfn.IFS(E19&gt;=95,"Excellent",E19&gt;=70,"Very Good",E19&gt;=55,"Good",E19&lt;55,"Poor")</f>
        <v>Good</v>
      </c>
    </row>
    <row r="20" spans="1:10" x14ac:dyDescent="0.35">
      <c r="A20" s="10">
        <v>18</v>
      </c>
      <c r="B20" s="17" t="s">
        <v>29</v>
      </c>
      <c r="C20" s="10">
        <v>10</v>
      </c>
      <c r="D20" s="10" t="s">
        <v>13</v>
      </c>
      <c r="E20" s="10">
        <v>82</v>
      </c>
      <c r="F20" s="10">
        <v>100</v>
      </c>
      <c r="G20" s="13">
        <f>E20/F20</f>
        <v>0.82</v>
      </c>
      <c r="H20" s="14" t="str" cm="1">
        <f t="array" ref="H20">_xlfn.IFS(E20&lt;55,"FAIL",E20&gt;=55,"PASS")</f>
        <v>PASS</v>
      </c>
      <c r="I20" s="15" t="str" cm="1">
        <f t="array" ref="I20">_xlfn.IFS(E20&gt;=95,"A",E20&gt;=70,"B",E20&gt;=55,"C",E20&lt;55,"D")</f>
        <v>B</v>
      </c>
      <c r="J20" s="16" t="str" cm="1">
        <f t="array" ref="J20">_xlfn.IFS(E20&gt;=95,"Excellent",E20&gt;=70,"Very Good",E20&gt;=55,"Good",E20&lt;55,"Poor")</f>
        <v>Very Good</v>
      </c>
    </row>
    <row r="21" spans="1:10" x14ac:dyDescent="0.35">
      <c r="A21" s="10">
        <v>19</v>
      </c>
      <c r="B21" s="17" t="s">
        <v>30</v>
      </c>
      <c r="C21" s="10">
        <v>10</v>
      </c>
      <c r="D21" s="10" t="s">
        <v>18</v>
      </c>
      <c r="E21" s="10">
        <v>64</v>
      </c>
      <c r="F21" s="10">
        <v>100</v>
      </c>
      <c r="G21" s="13">
        <f>E21/F21</f>
        <v>0.64</v>
      </c>
      <c r="H21" s="14" t="str" cm="1">
        <f t="array" ref="H21">_xlfn.IFS(E21&lt;55,"FAIL",E21&gt;=55,"PASS")</f>
        <v>PASS</v>
      </c>
      <c r="I21" s="15" t="str" cm="1">
        <f t="array" ref="I21">_xlfn.IFS(E21&gt;=95,"A",E21&gt;=70,"B",E21&gt;=55,"C",E21&lt;55,"D")</f>
        <v>C</v>
      </c>
      <c r="J21" s="16" t="str" cm="1">
        <f t="array" ref="J21">_xlfn.IFS(E21&gt;=95,"Excellent",E21&gt;=70,"Very Good",E21&gt;=55,"Good",E21&lt;55,"Poor")</f>
        <v>Good</v>
      </c>
    </row>
    <row r="22" spans="1:10" x14ac:dyDescent="0.35">
      <c r="A22" s="10">
        <v>20</v>
      </c>
      <c r="B22" s="17" t="s">
        <v>31</v>
      </c>
      <c r="C22" s="10">
        <v>10</v>
      </c>
      <c r="D22" s="10" t="s">
        <v>9</v>
      </c>
      <c r="E22" s="10">
        <v>93</v>
      </c>
      <c r="F22" s="10">
        <v>100</v>
      </c>
      <c r="G22" s="13">
        <f>E22/F22</f>
        <v>0.93</v>
      </c>
      <c r="H22" s="14" t="str" cm="1">
        <f t="array" ref="H22">_xlfn.IFS(E22&lt;55,"FAIL",E22&gt;=55,"PASS")</f>
        <v>PASS</v>
      </c>
      <c r="I22" s="15" t="str" cm="1">
        <f t="array" ref="I22">_xlfn.IFS(E22&gt;=95,"A",E22&gt;=70,"B",E22&gt;=55,"C",E22&lt;55,"D")</f>
        <v>B</v>
      </c>
      <c r="J22" s="16" t="str" cm="1">
        <f t="array" ref="J22">_xlfn.IFS(E22&gt;=95,"Excellent",E22&gt;=70,"Very Good",E22&gt;=55,"Good",E22&lt;55,"Poor")</f>
        <v>Very Good</v>
      </c>
    </row>
    <row r="23" spans="1:10" x14ac:dyDescent="0.35">
      <c r="A23" s="10">
        <v>21</v>
      </c>
      <c r="B23" s="17" t="s">
        <v>32</v>
      </c>
      <c r="C23" s="10">
        <v>10</v>
      </c>
      <c r="D23" s="10" t="s">
        <v>11</v>
      </c>
      <c r="E23" s="10">
        <v>34</v>
      </c>
      <c r="F23" s="10">
        <v>100</v>
      </c>
      <c r="G23" s="13">
        <f>E23/F23</f>
        <v>0.34</v>
      </c>
      <c r="H23" s="14" t="str" cm="1">
        <f t="array" ref="H23">_xlfn.IFS(E23&lt;55,"FAIL",E23&gt;=55,"PASS")</f>
        <v>FAIL</v>
      </c>
      <c r="I23" s="15" t="str" cm="1">
        <f t="array" ref="I23">_xlfn.IFS(E23&gt;=95,"A",E23&gt;=70,"B",E23&gt;=55,"C",E23&lt;55,"D")</f>
        <v>D</v>
      </c>
      <c r="J23" s="16" t="str" cm="1">
        <f t="array" ref="J23">_xlfn.IFS(E23&gt;=95,"Excellent",E23&gt;=70,"Very Good",E23&gt;=55,"Good",E23&lt;55,"Poor")</f>
        <v>Poor</v>
      </c>
    </row>
    <row r="24" spans="1:10" x14ac:dyDescent="0.35">
      <c r="A24" s="10">
        <v>22</v>
      </c>
      <c r="B24" s="17" t="s">
        <v>33</v>
      </c>
      <c r="C24" s="10">
        <v>10</v>
      </c>
      <c r="D24" s="10" t="s">
        <v>13</v>
      </c>
      <c r="E24" s="10">
        <v>85</v>
      </c>
      <c r="F24" s="10">
        <v>100</v>
      </c>
      <c r="G24" s="13">
        <f>E24/F24</f>
        <v>0.85</v>
      </c>
      <c r="H24" s="14" t="str" cm="1">
        <f t="array" ref="H24">_xlfn.IFS(E24&lt;55,"FAIL",E24&gt;=55,"PASS")</f>
        <v>PASS</v>
      </c>
      <c r="I24" s="15" t="str" cm="1">
        <f t="array" ref="I24">_xlfn.IFS(E24&gt;=95,"A",E24&gt;=70,"B",E24&gt;=55,"C",E24&lt;55,"D")</f>
        <v>B</v>
      </c>
      <c r="J24" s="16" t="str" cm="1">
        <f t="array" ref="J24">_xlfn.IFS(E24&gt;=95,"Excellent",E24&gt;=70,"Very Good",E24&gt;=55,"Good",E24&lt;55,"Poor")</f>
        <v>Very Good</v>
      </c>
    </row>
    <row r="25" spans="1:10" x14ac:dyDescent="0.35">
      <c r="A25" s="10">
        <v>23</v>
      </c>
      <c r="B25" s="17" t="s">
        <v>34</v>
      </c>
      <c r="C25" s="10">
        <v>10</v>
      </c>
      <c r="D25" s="10" t="s">
        <v>18</v>
      </c>
      <c r="E25" s="10">
        <v>58</v>
      </c>
      <c r="F25" s="10">
        <v>100</v>
      </c>
      <c r="G25" s="13">
        <f>E25/F25</f>
        <v>0.57999999999999996</v>
      </c>
      <c r="H25" s="14" t="str" cm="1">
        <f t="array" ref="H25">_xlfn.IFS(E25&lt;55,"FAIL",E25&gt;=55,"PASS")</f>
        <v>PASS</v>
      </c>
      <c r="I25" s="15" t="str" cm="1">
        <f t="array" ref="I25">_xlfn.IFS(E25&gt;=95,"A",E25&gt;=70,"B",E25&gt;=55,"C",E25&lt;55,"D")</f>
        <v>C</v>
      </c>
      <c r="J25" s="16" t="str" cm="1">
        <f t="array" ref="J25">_xlfn.IFS(E25&gt;=95,"Excellent",E25&gt;=70,"Very Good",E25&gt;=55,"Good",E25&lt;55,"Poor")</f>
        <v>Good</v>
      </c>
    </row>
    <row r="26" spans="1:10" x14ac:dyDescent="0.35">
      <c r="A26" s="10">
        <v>24</v>
      </c>
      <c r="B26" s="17" t="s">
        <v>35</v>
      </c>
      <c r="C26" s="10">
        <v>10</v>
      </c>
      <c r="D26" s="10" t="s">
        <v>9</v>
      </c>
      <c r="E26" s="10">
        <v>79</v>
      </c>
      <c r="F26" s="10">
        <v>100</v>
      </c>
      <c r="G26" s="13">
        <f>E26/F26</f>
        <v>0.79</v>
      </c>
      <c r="H26" s="14" t="str" cm="1">
        <f t="array" ref="H26">_xlfn.IFS(E26&lt;55,"FAIL",E26&gt;=55,"PASS")</f>
        <v>PASS</v>
      </c>
      <c r="I26" s="15" t="str" cm="1">
        <f t="array" ref="I26">_xlfn.IFS(E26&gt;=95,"A",E26&gt;=70,"B",E26&gt;=55,"C",E26&lt;55,"D")</f>
        <v>B</v>
      </c>
      <c r="J26" s="16" t="str" cm="1">
        <f t="array" ref="J26">_xlfn.IFS(E26&gt;=95,"Excellent",E26&gt;=70,"Very Good",E26&gt;=55,"Good",E26&lt;55,"Poor")</f>
        <v>Very Good</v>
      </c>
    </row>
    <row r="27" spans="1:10" x14ac:dyDescent="0.35">
      <c r="A27" s="10">
        <v>25</v>
      </c>
      <c r="B27" s="17" t="s">
        <v>36</v>
      </c>
      <c r="C27" s="10">
        <v>10</v>
      </c>
      <c r="D27" s="10" t="s">
        <v>11</v>
      </c>
      <c r="E27" s="10">
        <v>94</v>
      </c>
      <c r="F27" s="10">
        <v>100</v>
      </c>
      <c r="G27" s="13">
        <f>E27/F27</f>
        <v>0.94</v>
      </c>
      <c r="H27" s="14" t="str" cm="1">
        <f t="array" ref="H27">_xlfn.IFS(E27&lt;55,"FAIL",E27&gt;=55,"PASS")</f>
        <v>PASS</v>
      </c>
      <c r="I27" s="15" t="str" cm="1">
        <f t="array" ref="I27">_xlfn.IFS(E27&gt;=95,"A",E27&gt;=70,"B",E27&gt;=55,"C",E27&lt;55,"D")</f>
        <v>B</v>
      </c>
      <c r="J27" s="16" t="str" cm="1">
        <f t="array" ref="J27">_xlfn.IFS(E27&gt;=95,"Excellent",E27&gt;=70,"Very Good",E27&gt;=55,"Good",E27&lt;55,"Poor")</f>
        <v>Very Good</v>
      </c>
    </row>
    <row r="28" spans="1:10" x14ac:dyDescent="0.35">
      <c r="A28" s="10">
        <v>26</v>
      </c>
      <c r="B28" s="17" t="s">
        <v>37</v>
      </c>
      <c r="C28" s="10">
        <v>10</v>
      </c>
      <c r="D28" s="10" t="s">
        <v>13</v>
      </c>
      <c r="E28" s="10">
        <v>67</v>
      </c>
      <c r="F28" s="10">
        <v>100</v>
      </c>
      <c r="G28" s="13">
        <f>E28/F28</f>
        <v>0.67</v>
      </c>
      <c r="H28" s="14" t="str" cm="1">
        <f t="array" ref="H28">_xlfn.IFS(E28&lt;55,"FAIL",E28&gt;=55,"PASS")</f>
        <v>PASS</v>
      </c>
      <c r="I28" s="15" t="str" cm="1">
        <f t="array" ref="I28">_xlfn.IFS(E28&gt;=95,"A",E28&gt;=70,"B",E28&gt;=55,"C",E28&lt;55,"D")</f>
        <v>C</v>
      </c>
      <c r="J28" s="16" t="str" cm="1">
        <f t="array" ref="J28">_xlfn.IFS(E28&gt;=95,"Excellent",E28&gt;=70,"Very Good",E28&gt;=55,"Good",E28&lt;55,"Poor")</f>
        <v>Good</v>
      </c>
    </row>
    <row r="29" spans="1:10" x14ac:dyDescent="0.35">
      <c r="A29" s="10">
        <v>27</v>
      </c>
      <c r="B29" s="17" t="s">
        <v>38</v>
      </c>
      <c r="C29" s="10">
        <v>10</v>
      </c>
      <c r="D29" s="10" t="s">
        <v>18</v>
      </c>
      <c r="E29" s="10">
        <v>72</v>
      </c>
      <c r="F29" s="10">
        <v>100</v>
      </c>
      <c r="G29" s="13">
        <f>E29/F29</f>
        <v>0.72</v>
      </c>
      <c r="H29" s="14" t="str" cm="1">
        <f t="array" ref="H29">_xlfn.IFS(E29&lt;55,"FAIL",E29&gt;=55,"PASS")</f>
        <v>PASS</v>
      </c>
      <c r="I29" s="15" t="str" cm="1">
        <f t="array" ref="I29">_xlfn.IFS(E29&gt;=95,"A",E29&gt;=70,"B",E29&gt;=55,"C",E29&lt;55,"D")</f>
        <v>B</v>
      </c>
      <c r="J29" s="16" t="str" cm="1">
        <f t="array" ref="J29">_xlfn.IFS(E29&gt;=95,"Excellent",E29&gt;=70,"Very Good",E29&gt;=55,"Good",E29&lt;55,"Poor")</f>
        <v>Very Good</v>
      </c>
    </row>
    <row r="30" spans="1:10" x14ac:dyDescent="0.35">
      <c r="A30" s="10">
        <v>28</v>
      </c>
      <c r="B30" s="17" t="s">
        <v>39</v>
      </c>
      <c r="C30" s="10">
        <v>10</v>
      </c>
      <c r="D30" s="10" t="s">
        <v>9</v>
      </c>
      <c r="E30" s="10">
        <v>88</v>
      </c>
      <c r="F30" s="10">
        <v>100</v>
      </c>
      <c r="G30" s="13">
        <f>E30/F30</f>
        <v>0.88</v>
      </c>
      <c r="H30" s="14" t="str" cm="1">
        <f t="array" ref="H30">_xlfn.IFS(E30&lt;55,"FAIL",E30&gt;=55,"PASS")</f>
        <v>PASS</v>
      </c>
      <c r="I30" s="15" t="str" cm="1">
        <f t="array" ref="I30">_xlfn.IFS(E30&gt;=95,"A",E30&gt;=70,"B",E30&gt;=55,"C",E30&lt;55,"D")</f>
        <v>B</v>
      </c>
      <c r="J30" s="16" t="str" cm="1">
        <f t="array" ref="J30">_xlfn.IFS(E30&gt;=95,"Excellent",E30&gt;=70,"Very Good",E30&gt;=55,"Good",E30&lt;55,"Poor")</f>
        <v>Very Good</v>
      </c>
    </row>
    <row r="31" spans="1:10" x14ac:dyDescent="0.35">
      <c r="A31" s="10">
        <v>29</v>
      </c>
      <c r="B31" s="17" t="s">
        <v>40</v>
      </c>
      <c r="C31" s="10">
        <v>10</v>
      </c>
      <c r="D31" s="10" t="s">
        <v>11</v>
      </c>
      <c r="E31" s="10">
        <v>61</v>
      </c>
      <c r="F31" s="10">
        <v>100</v>
      </c>
      <c r="G31" s="13">
        <f>E31/F31</f>
        <v>0.61</v>
      </c>
      <c r="H31" s="14" t="str" cm="1">
        <f t="array" ref="H31">_xlfn.IFS(E31&lt;55,"FAIL",E31&gt;=55,"PASS")</f>
        <v>PASS</v>
      </c>
      <c r="I31" s="15" t="str" cm="1">
        <f t="array" ref="I31">_xlfn.IFS(E31&gt;=95,"A",E31&gt;=70,"B",E31&gt;=55,"C",E31&lt;55,"D")</f>
        <v>C</v>
      </c>
      <c r="J31" s="16" t="str" cm="1">
        <f t="array" ref="J31">_xlfn.IFS(E31&gt;=95,"Excellent",E31&gt;=70,"Very Good",E31&gt;=55,"Good",E31&lt;55,"Poor")</f>
        <v>Good</v>
      </c>
    </row>
    <row r="32" spans="1:10" x14ac:dyDescent="0.35">
      <c r="A32" s="10">
        <v>30</v>
      </c>
      <c r="B32" s="17" t="s">
        <v>41</v>
      </c>
      <c r="C32" s="10">
        <v>10</v>
      </c>
      <c r="D32" s="10" t="s">
        <v>13</v>
      </c>
      <c r="E32" s="10">
        <v>96</v>
      </c>
      <c r="F32" s="10">
        <v>100</v>
      </c>
      <c r="G32" s="13">
        <f>E32/F32</f>
        <v>0.96</v>
      </c>
      <c r="H32" s="14" t="str" cm="1">
        <f t="array" ref="H32">_xlfn.IFS(E32&lt;55,"FAIL",E32&gt;=55,"PASS")</f>
        <v>PASS</v>
      </c>
      <c r="I32" s="15" t="str" cm="1">
        <f t="array" ref="I32">_xlfn.IFS(E32&gt;=95,"A",E32&gt;=70,"B",E32&gt;=55,"C",E32&lt;55,"D")</f>
        <v>A</v>
      </c>
      <c r="J32" s="16" t="str" cm="1">
        <f t="array" ref="J32">_xlfn.IFS(E32&gt;=95,"Excellent",E32&gt;=70,"Very Good",E32&gt;=55,"Good",E32&lt;55,"Poor")</f>
        <v>Excellent</v>
      </c>
    </row>
    <row r="33" spans="1:10" x14ac:dyDescent="0.35">
      <c r="A33" s="10">
        <v>31</v>
      </c>
      <c r="B33" s="17" t="s">
        <v>42</v>
      </c>
      <c r="C33" s="10">
        <v>10</v>
      </c>
      <c r="D33" s="10" t="s">
        <v>18</v>
      </c>
      <c r="E33" s="10">
        <v>75</v>
      </c>
      <c r="F33" s="10">
        <v>100</v>
      </c>
      <c r="G33" s="13">
        <f>E33/F33</f>
        <v>0.75</v>
      </c>
      <c r="H33" s="14" t="str" cm="1">
        <f t="array" ref="H33">_xlfn.IFS(E33&lt;55,"FAIL",E33&gt;=55,"PASS")</f>
        <v>PASS</v>
      </c>
      <c r="I33" s="15" t="str" cm="1">
        <f t="array" ref="I33">_xlfn.IFS(E33&gt;=95,"A",E33&gt;=70,"B",E33&gt;=55,"C",E33&lt;55,"D")</f>
        <v>B</v>
      </c>
      <c r="J33" s="16" t="str" cm="1">
        <f t="array" ref="J33">_xlfn.IFS(E33&gt;=95,"Excellent",E33&gt;=70,"Very Good",E33&gt;=55,"Good",E33&lt;55,"Poor")</f>
        <v>Very Good</v>
      </c>
    </row>
    <row r="34" spans="1:10" x14ac:dyDescent="0.35">
      <c r="A34" s="10">
        <v>32</v>
      </c>
      <c r="B34" s="17" t="s">
        <v>43</v>
      </c>
      <c r="C34" s="10">
        <v>10</v>
      </c>
      <c r="D34" s="10" t="s">
        <v>9</v>
      </c>
      <c r="E34" s="10">
        <v>83</v>
      </c>
      <c r="F34" s="10">
        <v>100</v>
      </c>
      <c r="G34" s="13">
        <f>E34/F34</f>
        <v>0.83</v>
      </c>
      <c r="H34" s="14" t="str" cm="1">
        <f t="array" ref="H34">_xlfn.IFS(E34&lt;55,"FAIL",E34&gt;=55,"PASS")</f>
        <v>PASS</v>
      </c>
      <c r="I34" s="15" t="str" cm="1">
        <f t="array" ref="I34">_xlfn.IFS(E34&gt;=95,"A",E34&gt;=70,"B",E34&gt;=55,"C",E34&lt;55,"D")</f>
        <v>B</v>
      </c>
      <c r="J34" s="16" t="str" cm="1">
        <f t="array" ref="J34">_xlfn.IFS(E34&gt;=95,"Excellent",E34&gt;=70,"Very Good",E34&gt;=55,"Good",E34&lt;55,"Poor")</f>
        <v>Very Good</v>
      </c>
    </row>
    <row r="35" spans="1:10" x14ac:dyDescent="0.35">
      <c r="A35" s="10">
        <v>33</v>
      </c>
      <c r="B35" s="17" t="s">
        <v>44</v>
      </c>
      <c r="C35" s="10">
        <v>10</v>
      </c>
      <c r="D35" s="10" t="s">
        <v>11</v>
      </c>
      <c r="E35" s="10">
        <v>90</v>
      </c>
      <c r="F35" s="10">
        <v>100</v>
      </c>
      <c r="G35" s="13">
        <f>E35/F35</f>
        <v>0.9</v>
      </c>
      <c r="H35" s="14" t="str" cm="1">
        <f t="array" ref="H35">_xlfn.IFS(E35&lt;55,"FAIL",E35&gt;=55,"PASS")</f>
        <v>PASS</v>
      </c>
      <c r="I35" s="15" t="str" cm="1">
        <f t="array" ref="I35">_xlfn.IFS(E35&gt;=95,"A",E35&gt;=70,"B",E35&gt;=55,"C",E35&lt;55,"D")</f>
        <v>B</v>
      </c>
      <c r="J35" s="16" t="str" cm="1">
        <f t="array" ref="J35">_xlfn.IFS(E35&gt;=95,"Excellent",E35&gt;=70,"Very Good",E35&gt;=55,"Good",E35&lt;55,"Poor")</f>
        <v>Very Good</v>
      </c>
    </row>
    <row r="36" spans="1:10" x14ac:dyDescent="0.35">
      <c r="A36" s="10">
        <v>34</v>
      </c>
      <c r="B36" s="17" t="s">
        <v>45</v>
      </c>
      <c r="C36" s="10">
        <v>10</v>
      </c>
      <c r="D36" s="10" t="s">
        <v>13</v>
      </c>
      <c r="E36" s="10">
        <v>66</v>
      </c>
      <c r="F36" s="10">
        <v>100</v>
      </c>
      <c r="G36" s="13">
        <f>E36/F36</f>
        <v>0.66</v>
      </c>
      <c r="H36" s="14" t="str" cm="1">
        <f t="array" ref="H36">_xlfn.IFS(E36&lt;55,"FAIL",E36&gt;=55,"PASS")</f>
        <v>PASS</v>
      </c>
      <c r="I36" s="15" t="str" cm="1">
        <f t="array" ref="I36">_xlfn.IFS(E36&gt;=95,"A",E36&gt;=70,"B",E36&gt;=55,"C",E36&lt;55,"D")</f>
        <v>C</v>
      </c>
      <c r="J36" s="16" t="str" cm="1">
        <f t="array" ref="J36">_xlfn.IFS(E36&gt;=95,"Excellent",E36&gt;=70,"Very Good",E36&gt;=55,"Good",E36&lt;55,"Poor")</f>
        <v>Good</v>
      </c>
    </row>
    <row r="37" spans="1:10" x14ac:dyDescent="0.35">
      <c r="A37" s="10">
        <v>35</v>
      </c>
      <c r="B37" s="17" t="s">
        <v>46</v>
      </c>
      <c r="C37" s="10">
        <v>10</v>
      </c>
      <c r="D37" s="10" t="s">
        <v>18</v>
      </c>
      <c r="E37" s="10">
        <v>71</v>
      </c>
      <c r="F37" s="10">
        <v>100</v>
      </c>
      <c r="G37" s="13">
        <f>E37/F37</f>
        <v>0.71</v>
      </c>
      <c r="H37" s="14" t="str" cm="1">
        <f t="array" ref="H37">_xlfn.IFS(E37&lt;55,"FAIL",E37&gt;=55,"PASS")</f>
        <v>PASS</v>
      </c>
      <c r="I37" s="15" t="str" cm="1">
        <f t="array" ref="I37">_xlfn.IFS(E37&gt;=95,"A",E37&gt;=70,"B",E37&gt;=55,"C",E37&lt;55,"D")</f>
        <v>B</v>
      </c>
      <c r="J37" s="16" t="str" cm="1">
        <f t="array" ref="J37">_xlfn.IFS(E37&gt;=95,"Excellent",E37&gt;=70,"Very Good",E37&gt;=55,"Good",E37&lt;55,"Poor")</f>
        <v>Very Good</v>
      </c>
    </row>
    <row r="38" spans="1:10" x14ac:dyDescent="0.35">
      <c r="A38" s="10">
        <v>36</v>
      </c>
      <c r="B38" s="17" t="s">
        <v>47</v>
      </c>
      <c r="C38" s="10">
        <v>10</v>
      </c>
      <c r="D38" s="10" t="s">
        <v>9</v>
      </c>
      <c r="E38" s="10">
        <v>86</v>
      </c>
      <c r="F38" s="10">
        <v>100</v>
      </c>
      <c r="G38" s="13">
        <f>E38/F38</f>
        <v>0.86</v>
      </c>
      <c r="H38" s="14" t="str" cm="1">
        <f t="array" ref="H38">_xlfn.IFS(E38&lt;55,"FAIL",E38&gt;=55,"PASS")</f>
        <v>PASS</v>
      </c>
      <c r="I38" s="15" t="str" cm="1">
        <f t="array" ref="I38">_xlfn.IFS(E38&gt;=95,"A",E38&gt;=70,"B",E38&gt;=55,"C",E38&lt;55,"D")</f>
        <v>B</v>
      </c>
      <c r="J38" s="16" t="str" cm="1">
        <f t="array" ref="J38">_xlfn.IFS(E38&gt;=95,"Excellent",E38&gt;=70,"Very Good",E38&gt;=55,"Good",E38&lt;55,"Poor")</f>
        <v>Very Good</v>
      </c>
    </row>
    <row r="39" spans="1:10" x14ac:dyDescent="0.35">
      <c r="A39" s="10">
        <v>37</v>
      </c>
      <c r="B39" s="17" t="s">
        <v>48</v>
      </c>
      <c r="C39" s="10">
        <v>10</v>
      </c>
      <c r="D39" s="10" t="s">
        <v>11</v>
      </c>
      <c r="E39" s="10">
        <v>57</v>
      </c>
      <c r="F39" s="10">
        <v>100</v>
      </c>
      <c r="G39" s="13">
        <f>E39/F39</f>
        <v>0.56999999999999995</v>
      </c>
      <c r="H39" s="14" t="str" cm="1">
        <f t="array" ref="H39">_xlfn.IFS(E39&lt;55,"FAIL",E39&gt;=55,"PASS")</f>
        <v>PASS</v>
      </c>
      <c r="I39" s="15" t="str" cm="1">
        <f t="array" ref="I39">_xlfn.IFS(E39&gt;=95,"A",E39&gt;=70,"B",E39&gt;=55,"C",E39&lt;55,"D")</f>
        <v>C</v>
      </c>
      <c r="J39" s="16" t="str" cm="1">
        <f t="array" ref="J39">_xlfn.IFS(E39&gt;=95,"Excellent",E39&gt;=70,"Very Good",E39&gt;=55,"Good",E39&lt;55,"Poor")</f>
        <v>Good</v>
      </c>
    </row>
    <row r="40" spans="1:10" x14ac:dyDescent="0.35">
      <c r="A40" s="10">
        <v>38</v>
      </c>
      <c r="B40" s="17" t="s">
        <v>49</v>
      </c>
      <c r="C40" s="10">
        <v>10</v>
      </c>
      <c r="D40" s="10" t="s">
        <v>13</v>
      </c>
      <c r="E40" s="10">
        <v>80</v>
      </c>
      <c r="F40" s="10">
        <v>100</v>
      </c>
      <c r="G40" s="13">
        <f>E40/F40</f>
        <v>0.8</v>
      </c>
      <c r="H40" s="14" t="str" cm="1">
        <f t="array" ref="H40">_xlfn.IFS(E40&lt;55,"FAIL",E40&gt;=55,"PASS")</f>
        <v>PASS</v>
      </c>
      <c r="I40" s="15" t="str" cm="1">
        <f t="array" ref="I40">_xlfn.IFS(E40&gt;=95,"A",E40&gt;=70,"B",E40&gt;=55,"C",E40&lt;55,"D")</f>
        <v>B</v>
      </c>
      <c r="J40" s="16" t="str" cm="1">
        <f t="array" ref="J40">_xlfn.IFS(E40&gt;=95,"Excellent",E40&gt;=70,"Very Good",E40&gt;=55,"Good",E40&lt;55,"Poor")</f>
        <v>Very Good</v>
      </c>
    </row>
    <row r="41" spans="1:10" x14ac:dyDescent="0.35">
      <c r="A41" s="10">
        <v>39</v>
      </c>
      <c r="B41" s="17" t="s">
        <v>50</v>
      </c>
      <c r="C41" s="10">
        <v>10</v>
      </c>
      <c r="D41" s="10" t="s">
        <v>18</v>
      </c>
      <c r="E41" s="10">
        <v>63</v>
      </c>
      <c r="F41" s="10">
        <v>100</v>
      </c>
      <c r="G41" s="13">
        <f>E41/F41</f>
        <v>0.63</v>
      </c>
      <c r="H41" s="14" t="str" cm="1">
        <f t="array" ref="H41">_xlfn.IFS(E41&lt;55,"FAIL",E41&gt;=55,"PASS")</f>
        <v>PASS</v>
      </c>
      <c r="I41" s="15" t="str" cm="1">
        <f t="array" ref="I41">_xlfn.IFS(E41&gt;=95,"A",E41&gt;=70,"B",E41&gt;=55,"C",E41&lt;55,"D")</f>
        <v>C</v>
      </c>
      <c r="J41" s="16" t="str" cm="1">
        <f t="array" ref="J41">_xlfn.IFS(E41&gt;=95,"Excellent",E41&gt;=70,"Very Good",E41&gt;=55,"Good",E41&lt;55,"Poor")</f>
        <v>Good</v>
      </c>
    </row>
    <row r="42" spans="1:10" x14ac:dyDescent="0.35">
      <c r="A42" s="10">
        <v>40</v>
      </c>
      <c r="B42" s="17" t="s">
        <v>51</v>
      </c>
      <c r="C42" s="10">
        <v>10</v>
      </c>
      <c r="D42" s="10" t="s">
        <v>9</v>
      </c>
      <c r="E42" s="10">
        <v>91</v>
      </c>
      <c r="F42" s="10">
        <v>100</v>
      </c>
      <c r="G42" s="13">
        <f>E42/F42</f>
        <v>0.91</v>
      </c>
      <c r="H42" s="14" t="str" cm="1">
        <f t="array" ref="H42">_xlfn.IFS(E42&lt;55,"FAIL",E42&gt;=55,"PASS")</f>
        <v>PASS</v>
      </c>
      <c r="I42" s="15" t="str" cm="1">
        <f t="array" ref="I42">_xlfn.IFS(E42&gt;=95,"A",E42&gt;=70,"B",E42&gt;=55,"C",E42&lt;55,"D")</f>
        <v>B</v>
      </c>
      <c r="J42" s="16" t="str" cm="1">
        <f t="array" ref="J42">_xlfn.IFS(E42&gt;=95,"Excellent",E42&gt;=70,"Very Good",E42&gt;=55,"Good",E42&lt;55,"Poor")</f>
        <v>Very Good</v>
      </c>
    </row>
    <row r="43" spans="1:10" x14ac:dyDescent="0.35">
      <c r="A43" s="10">
        <v>41</v>
      </c>
      <c r="B43" s="17" t="s">
        <v>52</v>
      </c>
      <c r="C43" s="10">
        <v>10</v>
      </c>
      <c r="D43" s="10" t="s">
        <v>11</v>
      </c>
      <c r="E43" s="10">
        <v>76</v>
      </c>
      <c r="F43" s="10">
        <v>100</v>
      </c>
      <c r="G43" s="13">
        <f>E43/F43</f>
        <v>0.76</v>
      </c>
      <c r="H43" s="14" t="str" cm="1">
        <f t="array" ref="H43">_xlfn.IFS(E43&lt;55,"FAIL",E43&gt;=55,"PASS")</f>
        <v>PASS</v>
      </c>
      <c r="I43" s="15" t="str" cm="1">
        <f t="array" ref="I43">_xlfn.IFS(E43&gt;=95,"A",E43&gt;=70,"B",E43&gt;=55,"C",E43&lt;55,"D")</f>
        <v>B</v>
      </c>
      <c r="J43" s="16" t="str" cm="1">
        <f t="array" ref="J43">_xlfn.IFS(E43&gt;=95,"Excellent",E43&gt;=70,"Very Good",E43&gt;=55,"Good",E43&lt;55,"Poor")</f>
        <v>Very Good</v>
      </c>
    </row>
    <row r="44" spans="1:10" x14ac:dyDescent="0.35">
      <c r="A44" s="10">
        <v>42</v>
      </c>
      <c r="B44" s="17" t="s">
        <v>53</v>
      </c>
      <c r="C44" s="10">
        <v>10</v>
      </c>
      <c r="D44" s="10" t="s">
        <v>13</v>
      </c>
      <c r="E44" s="10">
        <v>87</v>
      </c>
      <c r="F44" s="10">
        <v>100</v>
      </c>
      <c r="G44" s="13">
        <f>E44/F44</f>
        <v>0.87</v>
      </c>
      <c r="H44" s="14" t="str" cm="1">
        <f t="array" ref="H44">_xlfn.IFS(E44&lt;55,"FAIL",E44&gt;=55,"PASS")</f>
        <v>PASS</v>
      </c>
      <c r="I44" s="15" t="str" cm="1">
        <f t="array" ref="I44">_xlfn.IFS(E44&gt;=95,"A",E44&gt;=70,"B",E44&gt;=55,"C",E44&lt;55,"D")</f>
        <v>B</v>
      </c>
      <c r="J44" s="16" t="str" cm="1">
        <f t="array" ref="J44">_xlfn.IFS(E44&gt;=95,"Excellent",E44&gt;=70,"Very Good",E44&gt;=55,"Good",E44&lt;55,"Poor")</f>
        <v>Very Good</v>
      </c>
    </row>
    <row r="45" spans="1:10" x14ac:dyDescent="0.35">
      <c r="A45" s="10">
        <v>43</v>
      </c>
      <c r="B45" s="17" t="s">
        <v>54</v>
      </c>
      <c r="C45" s="10">
        <v>10</v>
      </c>
      <c r="D45" s="10" t="s">
        <v>18</v>
      </c>
      <c r="E45" s="10">
        <v>60</v>
      </c>
      <c r="F45" s="10">
        <v>100</v>
      </c>
      <c r="G45" s="13">
        <f>E45/F45</f>
        <v>0.6</v>
      </c>
      <c r="H45" s="14" t="str" cm="1">
        <f t="array" ref="H45">_xlfn.IFS(E45&lt;55,"FAIL",E45&gt;=55,"PASS")</f>
        <v>PASS</v>
      </c>
      <c r="I45" s="15" t="str" cm="1">
        <f t="array" ref="I45">_xlfn.IFS(E45&gt;=95,"A",E45&gt;=70,"B",E45&gt;=55,"C",E45&lt;55,"D")</f>
        <v>C</v>
      </c>
      <c r="J45" s="16" t="str" cm="1">
        <f t="array" ref="J45">_xlfn.IFS(E45&gt;=95,"Excellent",E45&gt;=70,"Very Good",E45&gt;=55,"Good",E45&lt;55,"Poor")</f>
        <v>Good</v>
      </c>
    </row>
    <row r="46" spans="1:10" x14ac:dyDescent="0.35">
      <c r="A46" s="10">
        <v>44</v>
      </c>
      <c r="B46" s="17" t="s">
        <v>55</v>
      </c>
      <c r="C46" s="10">
        <v>10</v>
      </c>
      <c r="D46" s="10" t="s">
        <v>9</v>
      </c>
      <c r="E46" s="10">
        <v>82</v>
      </c>
      <c r="F46" s="10">
        <v>100</v>
      </c>
      <c r="G46" s="13">
        <f>E46/F46</f>
        <v>0.82</v>
      </c>
      <c r="H46" s="14" t="str" cm="1">
        <f t="array" ref="H46">_xlfn.IFS(E46&lt;55,"FAIL",E46&gt;=55,"PASS")</f>
        <v>PASS</v>
      </c>
      <c r="I46" s="15" t="str" cm="1">
        <f t="array" ref="I46">_xlfn.IFS(E46&gt;=95,"A",E46&gt;=70,"B",E46&gt;=55,"C",E46&lt;55,"D")</f>
        <v>B</v>
      </c>
      <c r="J46" s="16" t="str" cm="1">
        <f t="array" ref="J46">_xlfn.IFS(E46&gt;=95,"Excellent",E46&gt;=70,"Very Good",E46&gt;=55,"Good",E46&lt;55,"Poor")</f>
        <v>Very Good</v>
      </c>
    </row>
    <row r="47" spans="1:10" x14ac:dyDescent="0.35">
      <c r="A47" s="10">
        <v>45</v>
      </c>
      <c r="B47" s="17" t="s">
        <v>56</v>
      </c>
      <c r="C47" s="10">
        <v>10</v>
      </c>
      <c r="D47" s="10" t="s">
        <v>11</v>
      </c>
      <c r="E47" s="10">
        <v>95</v>
      </c>
      <c r="F47" s="10">
        <v>100</v>
      </c>
      <c r="G47" s="13">
        <f>E47/F47</f>
        <v>0.95</v>
      </c>
      <c r="H47" s="14" t="str" cm="1">
        <f t="array" ref="H47">_xlfn.IFS(E47&lt;55,"FAIL",E47&gt;=55,"PASS")</f>
        <v>PASS</v>
      </c>
      <c r="I47" s="15" t="str" cm="1">
        <f t="array" ref="I47">_xlfn.IFS(E47&gt;=95,"A",E47&gt;=70,"B",E47&gt;=55,"C",E47&lt;55,"D")</f>
        <v>A</v>
      </c>
      <c r="J47" s="16" t="str" cm="1">
        <f t="array" ref="J47">_xlfn.IFS(E47&gt;=95,"Excellent",E47&gt;=70,"Very Good",E47&gt;=55,"Good",E47&lt;55,"Poor")</f>
        <v>Excellent</v>
      </c>
    </row>
    <row r="48" spans="1:10" x14ac:dyDescent="0.35">
      <c r="A48" s="10">
        <v>46</v>
      </c>
      <c r="B48" s="17" t="s">
        <v>57</v>
      </c>
      <c r="C48" s="10">
        <v>10</v>
      </c>
      <c r="D48" s="10" t="s">
        <v>13</v>
      </c>
      <c r="E48" s="10">
        <v>69</v>
      </c>
      <c r="F48" s="10">
        <v>100</v>
      </c>
      <c r="G48" s="13">
        <f>E48/F48</f>
        <v>0.69</v>
      </c>
      <c r="H48" s="14" t="str" cm="1">
        <f t="array" ref="H48">_xlfn.IFS(E48&lt;55,"FAIL",E48&gt;=55,"PASS")</f>
        <v>PASS</v>
      </c>
      <c r="I48" s="15" t="str" cm="1">
        <f t="array" ref="I48">_xlfn.IFS(E48&gt;=95,"A",E48&gt;=70,"B",E48&gt;=55,"C",E48&lt;55,"D")</f>
        <v>C</v>
      </c>
      <c r="J48" s="16" t="str" cm="1">
        <f t="array" ref="J48">_xlfn.IFS(E48&gt;=95,"Excellent",E48&gt;=70,"Very Good",E48&gt;=55,"Good",E48&lt;55,"Poor")</f>
        <v>Good</v>
      </c>
    </row>
    <row r="49" spans="1:10" x14ac:dyDescent="0.35">
      <c r="A49" s="10">
        <v>47</v>
      </c>
      <c r="B49" s="17" t="s">
        <v>58</v>
      </c>
      <c r="C49" s="10">
        <v>10</v>
      </c>
      <c r="D49" s="10" t="s">
        <v>18</v>
      </c>
      <c r="E49" s="10">
        <v>54</v>
      </c>
      <c r="F49" s="10">
        <v>100</v>
      </c>
      <c r="G49" s="13">
        <f>E49/F49</f>
        <v>0.54</v>
      </c>
      <c r="H49" s="14" t="str" cm="1">
        <f t="array" ref="H49">_xlfn.IFS(E49&lt;55,"FAIL",E49&gt;=55,"PASS")</f>
        <v>FAIL</v>
      </c>
      <c r="I49" s="15" t="str" cm="1">
        <f t="array" ref="I49">_xlfn.IFS(E49&gt;=95,"A",E49&gt;=70,"B",E49&gt;=55,"C",E49&lt;55,"D")</f>
        <v>D</v>
      </c>
      <c r="J49" s="16" t="str" cm="1">
        <f t="array" ref="J49">_xlfn.IFS(E49&gt;=95,"Excellent",E49&gt;=70,"Very Good",E49&gt;=55,"Good",E49&lt;55,"Poor")</f>
        <v>Poor</v>
      </c>
    </row>
    <row r="50" spans="1:10" x14ac:dyDescent="0.35">
      <c r="A50" s="10">
        <v>48</v>
      </c>
      <c r="B50" s="17" t="s">
        <v>59</v>
      </c>
      <c r="C50" s="10">
        <v>10</v>
      </c>
      <c r="D50" s="10" t="s">
        <v>9</v>
      </c>
      <c r="E50" s="10">
        <v>90</v>
      </c>
      <c r="F50" s="10">
        <v>100</v>
      </c>
      <c r="G50" s="13">
        <f>E50/F50</f>
        <v>0.9</v>
      </c>
      <c r="H50" s="14" t="str" cm="1">
        <f t="array" ref="H50">_xlfn.IFS(E50&lt;55,"FAIL",E50&gt;=55,"PASS")</f>
        <v>PASS</v>
      </c>
      <c r="I50" s="15" t="str" cm="1">
        <f t="array" ref="I50">_xlfn.IFS(E50&gt;=95,"A",E50&gt;=70,"B",E50&gt;=55,"C",E50&lt;55,"D")</f>
        <v>B</v>
      </c>
      <c r="J50" s="16" t="str" cm="1">
        <f t="array" ref="J50">_xlfn.IFS(E50&gt;=95,"Excellent",E50&gt;=70,"Very Good",E50&gt;=55,"Good",E50&lt;55,"Poor")</f>
        <v>Very Good</v>
      </c>
    </row>
    <row r="51" spans="1:10" x14ac:dyDescent="0.35">
      <c r="A51" s="10">
        <v>49</v>
      </c>
      <c r="B51" s="17" t="s">
        <v>60</v>
      </c>
      <c r="C51" s="10">
        <v>10</v>
      </c>
      <c r="D51" s="10" t="s">
        <v>11</v>
      </c>
      <c r="E51" s="10">
        <v>56</v>
      </c>
      <c r="F51" s="10">
        <v>100</v>
      </c>
      <c r="G51" s="13">
        <f>E51/F51</f>
        <v>0.56000000000000005</v>
      </c>
      <c r="H51" s="14" t="str" cm="1">
        <f t="array" ref="H51">_xlfn.IFS(E51&lt;55,"FAIL",E51&gt;=55,"PASS")</f>
        <v>PASS</v>
      </c>
      <c r="I51" s="15" t="str" cm="1">
        <f t="array" ref="I51">_xlfn.IFS(E51&gt;=95,"A",E51&gt;=70,"B",E51&gt;=55,"C",E51&lt;55,"D")</f>
        <v>C</v>
      </c>
      <c r="J51" s="16" t="str" cm="1">
        <f t="array" ref="J51">_xlfn.IFS(E51&gt;=95,"Excellent",E51&gt;=70,"Very Good",E51&gt;=55,"Good",E51&lt;55,"Poor")</f>
        <v>Good</v>
      </c>
    </row>
    <row r="52" spans="1:10" x14ac:dyDescent="0.35">
      <c r="A52" s="10">
        <v>50</v>
      </c>
      <c r="B52" s="17" t="s">
        <v>61</v>
      </c>
      <c r="C52" s="10">
        <v>10</v>
      </c>
      <c r="D52" s="10" t="s">
        <v>13</v>
      </c>
      <c r="E52" s="10">
        <v>78</v>
      </c>
      <c r="F52" s="10">
        <v>100</v>
      </c>
      <c r="G52" s="13">
        <f>E52/F52</f>
        <v>0.78</v>
      </c>
      <c r="H52" s="14" t="str" cm="1">
        <f t="array" ref="H52">_xlfn.IFS(E52&lt;55,"FAIL",E52&gt;=55,"PASS")</f>
        <v>PASS</v>
      </c>
      <c r="I52" s="15" t="str" cm="1">
        <f t="array" ref="I52">_xlfn.IFS(E52&gt;=95,"A",E52&gt;=70,"B",E52&gt;=55,"C",E52&lt;55,"D")</f>
        <v>B</v>
      </c>
      <c r="J52" s="16" t="str" cm="1">
        <f t="array" ref="J52">_xlfn.IFS(E52&gt;=95,"Excellent",E52&gt;=70,"Very Good",E52&gt;=55,"Good",E52&lt;55,"Poor")</f>
        <v>Very Good</v>
      </c>
    </row>
    <row r="53" spans="1:10" x14ac:dyDescent="0.35">
      <c r="A53" s="10" t="s">
        <v>65</v>
      </c>
      <c r="B53" s="11"/>
      <c r="C53" s="10"/>
      <c r="D53" s="10"/>
      <c r="E53" s="10"/>
      <c r="F53" s="10">
        <f>SUBTOTAL(109,Table2[Total_Marks])</f>
        <v>5000</v>
      </c>
      <c r="G53" s="10"/>
      <c r="H53" s="14"/>
      <c r="I53" s="15"/>
      <c r="J53" s="16">
        <f>SUBTOTAL(103,Table2[performance])</f>
        <v>50</v>
      </c>
    </row>
    <row r="54" spans="1:10" x14ac:dyDescent="0.35">
      <c r="A54" s="11"/>
      <c r="B54" s="11"/>
      <c r="C54" s="11"/>
      <c r="D54" s="11"/>
      <c r="E54" s="11"/>
      <c r="F54" s="11"/>
      <c r="G54" s="11"/>
      <c r="H54" s="16"/>
      <c r="I54" s="15"/>
      <c r="J54" s="16"/>
    </row>
    <row r="55" spans="1:10" x14ac:dyDescent="0.35">
      <c r="A55" s="11"/>
      <c r="B55" s="11"/>
      <c r="C55" s="11"/>
      <c r="D55" s="11"/>
      <c r="E55" s="11"/>
      <c r="F55" s="11"/>
      <c r="G55" s="11"/>
      <c r="H55" s="16"/>
      <c r="I55" s="16"/>
      <c r="J55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Student_Marksheet_Dataset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 Rajpoot</dc:creator>
  <cp:lastModifiedBy>Nice Rajpoot</cp:lastModifiedBy>
  <dcterms:created xsi:type="dcterms:W3CDTF">2026-08-02T08:14:05Z</dcterms:created>
  <dcterms:modified xsi:type="dcterms:W3CDTF">2026-08-02T09:59:44Z</dcterms:modified>
</cp:coreProperties>
</file>